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<sst xmlns="http://schemas.openxmlformats.org/spreadsheetml/2006/main" count="95" uniqueCount="81">
  <si>
    <t>AT32F403AVGT7_WorkBench</t>
  </si>
  <si>
    <t>lto-llvm-92863b.o</t>
  </si>
  <si>
    <t>startup_at32f403a_407.o</t>
  </si>
  <si>
    <t>c_w.l</t>
  </si>
  <si>
    <t>stdio_streams.o</t>
  </si>
  <si>
    <t>libspace.o</t>
  </si>
  <si>
    <t>flsbuf.o</t>
  </si>
  <si>
    <t>initio.o</t>
  </si>
  <si>
    <t>stdio.o</t>
  </si>
  <si>
    <t>fseek.o</t>
  </si>
  <si>
    <t>lludivv7m.o</t>
  </si>
  <si>
    <t>fopen.o</t>
  </si>
  <si>
    <t>_printf_intcommon.o</t>
  </si>
  <si>
    <t>rt_memcpy_v6.o</t>
  </si>
  <si>
    <t>init_alloc.o</t>
  </si>
  <si>
    <t>strcmpv7em.o</t>
  </si>
  <si>
    <t>_printf_dec.o</t>
  </si>
  <si>
    <t>llsdiv.o</t>
  </si>
  <si>
    <t>__printf.o</t>
  </si>
  <si>
    <t>rt_memcpy_w.o</t>
  </si>
  <si>
    <t>h1_alloc.o</t>
  </si>
  <si>
    <t>__scatter.o</t>
  </si>
  <si>
    <t>defsig_rtmem_inner.o</t>
  </si>
  <si>
    <t>rt_memclr_w.o</t>
  </si>
  <si>
    <t>h1_free.o</t>
  </si>
  <si>
    <t>fclose.o</t>
  </si>
  <si>
    <t>sys_stackheap_outer.o</t>
  </si>
  <si>
    <t>strcpy.o</t>
  </si>
  <si>
    <t>setvbuf.o</t>
  </si>
  <si>
    <t>rt_memclr.o</t>
  </si>
  <si>
    <t>ftell.o</t>
  </si>
  <si>
    <t>strlen.o</t>
  </si>
  <si>
    <t>h1_extend.o</t>
  </si>
  <si>
    <t>defsig_rtred_inner.o</t>
  </si>
  <si>
    <t>defsig_general.o</t>
  </si>
  <si>
    <t>_printf_char_common.o</t>
  </si>
  <si>
    <t>puts.o</t>
  </si>
  <si>
    <t>init_aeabi.o</t>
  </si>
  <si>
    <t>_printf_char_file.o</t>
  </si>
  <si>
    <t>systick_wrapper_gnu.o</t>
  </si>
  <si>
    <t>fputc.o</t>
  </si>
  <si>
    <t>__scatter_zi.o</t>
  </si>
  <si>
    <t>fz_wm.l</t>
  </si>
  <si>
    <t>fpinit.o</t>
  </si>
  <si>
    <t>__scatter_copy.o</t>
  </si>
  <si>
    <t>noretval__2printf.o</t>
  </si>
  <si>
    <t>libinit2.o</t>
  </si>
  <si>
    <t>exit.o</t>
  </si>
  <si>
    <t>aeabi_memset4.o</t>
  </si>
  <si>
    <t>aeabi_memset.o</t>
  </si>
  <si>
    <t>sys_wrch.o</t>
  </si>
  <si>
    <t>defsig_rtred_outer.o</t>
  </si>
  <si>
    <t>defsig_rtmem_outer.o</t>
  </si>
  <si>
    <t>sys_exit.o</t>
  </si>
  <si>
    <t>h1_init.o</t>
  </si>
  <si>
    <t>__rtentry2.o</t>
  </si>
  <si>
    <t>rtexit2.o</t>
  </si>
  <si>
    <t>defsig_exit.o</t>
  </si>
  <si>
    <t>rt_errno_addr_intlibspace.o</t>
  </si>
  <si>
    <t>ferror.o</t>
  </si>
  <si>
    <t>__main.o</t>
  </si>
  <si>
    <t>libshutdown2.o</t>
  </si>
  <si>
    <t>heapauxi.o</t>
  </si>
  <si>
    <t>_printf_u.o</t>
  </si>
  <si>
    <t>__rtentry4.o</t>
  </si>
  <si>
    <t>hguard.o</t>
  </si>
  <si>
    <t>_printf_percent_end.o</t>
  </si>
  <si>
    <t>use_no_semi.o</t>
  </si>
  <si>
    <t>rtexit.o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</si>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</sst>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ram_percent!$A$3:$A$73</c:f>
              <c:strCache>
                <c:ptCount val="71"/>
                <c:pt idx="0">
                  <c:v>lto-llvm-92863b.o</c:v>
                </c:pt>
                <c:pt idx="1">
                  <c:v>startup_at32f403a_407.o</c:v>
                </c:pt>
                <c:pt idx="2">
                  <c:v>c_w.l</c:v>
                </c:pt>
                <c:pt idx="3">
                  <c:v>stdio_streams.o</c:v>
                </c:pt>
                <c:pt idx="4">
                  <c:v>libspace.o</c:v>
                </c:pt>
                <c:pt idx="70">
                  <c:v>Totals</c:v>
                </c:pt>
              </c:strCache>
            </c:strRef>
          </c:cat>
          <c:val>
            <c:numRef>
              <c:f>ram_percent!$B$3:$B$73</c:f>
              <c:numCache>
                <c:formatCode>General</c:formatCode>
                <c:ptCount val="71"/>
                <c:pt idx="0">
                  <c:v>98.32932281494141</c:v>
                </c:pt>
                <c:pt idx="1">
                  <c:v>1.137482881546021</c:v>
                </c:pt>
                <c:pt idx="2">
                  <c:v>0.2665975391864777</c:v>
                </c:pt>
                <c:pt idx="3">
                  <c:v>0.1955048739910126</c:v>
                </c:pt>
                <c:pt idx="4">
                  <c:v>0.07109268009662628</c:v>
                </c:pt>
                <c:pt idx="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flash_percent!$A$3:$A$73</c:f>
              <c:strCache>
                <c:ptCount val="71"/>
                <c:pt idx="0">
                  <c:v>lto-llvm-92863b.o</c:v>
                </c:pt>
                <c:pt idx="1">
                  <c:v>c_w.l</c:v>
                </c:pt>
                <c:pt idx="2">
                  <c:v>flsbuf.o</c:v>
                </c:pt>
                <c:pt idx="3">
                  <c:v>startup_at32f403a_407.o</c:v>
                </c:pt>
                <c:pt idx="4">
                  <c:v>initio.o</c:v>
                </c:pt>
                <c:pt idx="5">
                  <c:v>stdio.o</c:v>
                </c:pt>
                <c:pt idx="6">
                  <c:v>fseek.o</c:v>
                </c:pt>
                <c:pt idx="7">
                  <c:v>lludivv7m.o</c:v>
                </c:pt>
                <c:pt idx="8">
                  <c:v>fopen.o</c:v>
                </c:pt>
                <c:pt idx="9">
                  <c:v>_printf_intcommon.o</c:v>
                </c:pt>
                <c:pt idx="10">
                  <c:v>rt_memcpy_v6.o</c:v>
                </c:pt>
                <c:pt idx="11">
                  <c:v>init_alloc.o</c:v>
                </c:pt>
                <c:pt idx="12">
                  <c:v>strcmpv7em.o</c:v>
                </c:pt>
                <c:pt idx="13">
                  <c:v>_printf_dec.o</c:v>
                </c:pt>
                <c:pt idx="14">
                  <c:v>llsdiv.o</c:v>
                </c:pt>
                <c:pt idx="15">
                  <c:v>__printf.o</c:v>
                </c:pt>
                <c:pt idx="16">
                  <c:v>rt_memcpy_w.o</c:v>
                </c:pt>
                <c:pt idx="17">
                  <c:v>h1_alloc.o</c:v>
                </c:pt>
                <c:pt idx="18">
                  <c:v>__scatter.o</c:v>
                </c:pt>
                <c:pt idx="19">
                  <c:v>defsig_rtmem_inner.o</c:v>
                </c:pt>
                <c:pt idx="20">
                  <c:v>rt_memclr_w.o</c:v>
                </c:pt>
                <c:pt idx="21">
                  <c:v>h1_free.o</c:v>
                </c:pt>
                <c:pt idx="22">
                  <c:v>fclose.o</c:v>
                </c:pt>
                <c:pt idx="23">
                  <c:v>sys_stackheap_outer.o</c:v>
                </c:pt>
                <c:pt idx="24">
                  <c:v>strcpy.o</c:v>
                </c:pt>
                <c:pt idx="25">
                  <c:v>setvbuf.o</c:v>
                </c:pt>
                <c:pt idx="26">
                  <c:v>rt_memclr.o</c:v>
                </c:pt>
                <c:pt idx="27">
                  <c:v>ftell.o</c:v>
                </c:pt>
                <c:pt idx="28">
                  <c:v>strlen.o</c:v>
                </c:pt>
                <c:pt idx="29">
                  <c:v>h1_extend.o</c:v>
                </c:pt>
                <c:pt idx="30">
                  <c:v>defsig_rtred_inner.o</c:v>
                </c:pt>
                <c:pt idx="31">
                  <c:v>defsig_general.o</c:v>
                </c:pt>
                <c:pt idx="32">
                  <c:v>_printf_char_common.o</c:v>
                </c:pt>
                <c:pt idx="33">
                  <c:v>puts.o</c:v>
                </c:pt>
                <c:pt idx="34">
                  <c:v>init_aeabi.o</c:v>
                </c:pt>
                <c:pt idx="35">
                  <c:v>_printf_char_file.o</c:v>
                </c:pt>
                <c:pt idx="36">
                  <c:v>systick_wrapper_gnu.o</c:v>
                </c:pt>
                <c:pt idx="37">
                  <c:v>fputc.o</c:v>
                </c:pt>
                <c:pt idx="38">
                  <c:v>__scatter_zi.o</c:v>
                </c:pt>
                <c:pt idx="39">
                  <c:v>fz_wm.l</c:v>
                </c:pt>
                <c:pt idx="40">
                  <c:v>fpinit.o</c:v>
                </c:pt>
                <c:pt idx="41">
                  <c:v>__scatter_copy.o</c:v>
                </c:pt>
                <c:pt idx="42">
                  <c:v>noretval__2printf.o</c:v>
                </c:pt>
                <c:pt idx="43">
                  <c:v>libinit2.o</c:v>
                </c:pt>
                <c:pt idx="44">
                  <c:v>exit.o</c:v>
                </c:pt>
                <c:pt idx="45">
                  <c:v>aeabi_memset4.o</c:v>
                </c:pt>
                <c:pt idx="46">
                  <c:v>aeabi_memset.o</c:v>
                </c:pt>
                <c:pt idx="47">
                  <c:v>sys_wrch.o</c:v>
                </c:pt>
                <c:pt idx="48">
                  <c:v>defsig_rtred_outer.o</c:v>
                </c:pt>
                <c:pt idx="49">
                  <c:v>defsig_rtmem_outer.o</c:v>
                </c:pt>
                <c:pt idx="50">
                  <c:v>sys_exit.o</c:v>
                </c:pt>
                <c:pt idx="51">
                  <c:v>stdio_streams.o</c:v>
                </c:pt>
                <c:pt idx="52">
                  <c:v>h1_init.o</c:v>
                </c:pt>
                <c:pt idx="53">
                  <c:v>__rtentry2.o</c:v>
                </c:pt>
                <c:pt idx="54">
                  <c:v>rtexit2.o</c:v>
                </c:pt>
                <c:pt idx="55">
                  <c:v>defsig_exit.o</c:v>
                </c:pt>
                <c:pt idx="56">
                  <c:v>rt_errno_addr_intlibspace.o</c:v>
                </c:pt>
                <c:pt idx="57">
                  <c:v>libspace.o</c:v>
                </c:pt>
                <c:pt idx="58">
                  <c:v>ferror.o</c:v>
                </c:pt>
                <c:pt idx="59">
                  <c:v>__main.o</c:v>
                </c:pt>
                <c:pt idx="60">
                  <c:v>libshutdown2.o</c:v>
                </c:pt>
                <c:pt idx="61">
                  <c:v>heapauxi.o</c:v>
                </c:pt>
                <c:pt idx="62">
                  <c:v>_printf_u.o</c:v>
                </c:pt>
                <c:pt idx="63">
                  <c:v>__rtentry4.o</c:v>
                </c:pt>
                <c:pt idx="64">
                  <c:v>hguard.o</c:v>
                </c:pt>
                <c:pt idx="65">
                  <c:v>_printf_percent_end.o</c:v>
                </c:pt>
                <c:pt idx="66">
                  <c:v>use_no_semi.o</c:v>
                </c:pt>
                <c:pt idx="67">
                  <c:v>rtexit.o</c:v>
                </c:pt>
                <c:pt idx="68">
                  <c:v>libshutdown.o</c:v>
                </c:pt>
                <c:pt idx="69">
                  <c:v>libinit.o</c:v>
                </c:pt>
                <c:pt idx="70">
                  <c:v>Totals</c:v>
                </c:pt>
              </c:strCache>
            </c:strRef>
          </c:cat>
          <c:val>
            <c:numRef>
              <c:f>flash_percent!$B$3:$B$73</c:f>
              <c:numCache>
                <c:formatCode>General</c:formatCode>
                <c:ptCount val="71"/>
                <c:pt idx="0">
                  <c:v>97.50539398193359</c:v>
                </c:pt>
                <c:pt idx="1">
                  <c:v>1.176853656768799</c:v>
                </c:pt>
                <c:pt idx="2">
                  <c:v>0.1286266297101975</c:v>
                </c:pt>
                <c:pt idx="3">
                  <c:v>0.1206208243966103</c:v>
                </c:pt>
                <c:pt idx="4">
                  <c:v>0.08326039463281632</c:v>
                </c:pt>
                <c:pt idx="5">
                  <c:v>0.07045110315084457</c:v>
                </c:pt>
                <c:pt idx="6">
                  <c:v>0.06618133932352066</c:v>
                </c:pt>
                <c:pt idx="7">
                  <c:v>0.0640464574098587</c:v>
                </c:pt>
                <c:pt idx="8">
                  <c:v>0.0640464574098587</c:v>
                </c:pt>
                <c:pt idx="9">
                  <c:v>0.04750112071633339</c:v>
                </c:pt>
                <c:pt idx="10">
                  <c:v>0.03682671114802361</c:v>
                </c:pt>
                <c:pt idx="11">
                  <c:v>0.03682671114802361</c:v>
                </c:pt>
                <c:pt idx="12">
                  <c:v>0.03309066966176033</c:v>
                </c:pt>
                <c:pt idx="13">
                  <c:v>0.03202322870492935</c:v>
                </c:pt>
                <c:pt idx="14">
                  <c:v>0.03095578588545322</c:v>
                </c:pt>
                <c:pt idx="15">
                  <c:v>0.02775346301496029</c:v>
                </c:pt>
                <c:pt idx="16">
                  <c:v>0.02668602205812931</c:v>
                </c:pt>
                <c:pt idx="17">
                  <c:v>0.02508486062288284</c:v>
                </c:pt>
                <c:pt idx="18">
                  <c:v>0.02508486062288284</c:v>
                </c:pt>
                <c:pt idx="19">
                  <c:v>0.02134881913661957</c:v>
                </c:pt>
                <c:pt idx="20">
                  <c:v>0.02081509865820408</c:v>
                </c:pt>
                <c:pt idx="21">
                  <c:v>0.02081509865820408</c:v>
                </c:pt>
                <c:pt idx="22">
                  <c:v>0.02028137817978859</c:v>
                </c:pt>
                <c:pt idx="23">
                  <c:v>0.0197476577013731</c:v>
                </c:pt>
                <c:pt idx="24">
                  <c:v>0.01921393722295761</c:v>
                </c:pt>
                <c:pt idx="25">
                  <c:v>0.01868021674454212</c:v>
                </c:pt>
                <c:pt idx="26">
                  <c:v>0.01814649626612663</c:v>
                </c:pt>
                <c:pt idx="27">
                  <c:v>0.01761277578771114</c:v>
                </c:pt>
                <c:pt idx="28">
                  <c:v>0.01654533483088017</c:v>
                </c:pt>
                <c:pt idx="29">
                  <c:v>0.01387673150748015</c:v>
                </c:pt>
                <c:pt idx="30">
                  <c:v>0.01387673150748015</c:v>
                </c:pt>
                <c:pt idx="31">
                  <c:v>0.01334301102906466</c:v>
                </c:pt>
                <c:pt idx="32">
                  <c:v>0.01280929055064917</c:v>
                </c:pt>
                <c:pt idx="33">
                  <c:v>0.01174185052514076</c:v>
                </c:pt>
                <c:pt idx="34">
                  <c:v>0.01174185052514076</c:v>
                </c:pt>
                <c:pt idx="35">
                  <c:v>0.009606968611478806</c:v>
                </c:pt>
                <c:pt idx="36">
                  <c:v>0.008539527654647827</c:v>
                </c:pt>
                <c:pt idx="37">
                  <c:v>0.007472086232155561</c:v>
                </c:pt>
                <c:pt idx="38">
                  <c:v>0.007472086232155561</c:v>
                </c:pt>
                <c:pt idx="39">
                  <c:v>0.006938365753740072</c:v>
                </c:pt>
                <c:pt idx="40">
                  <c:v>0.006938365753740072</c:v>
                </c:pt>
                <c:pt idx="41">
                  <c:v>0.006938365753740072</c:v>
                </c:pt>
                <c:pt idx="42">
                  <c:v>0.006404645275324583</c:v>
                </c:pt>
                <c:pt idx="43">
                  <c:v>0.005870925262570381</c:v>
                </c:pt>
                <c:pt idx="44">
                  <c:v>0.004803484305739403</c:v>
                </c:pt>
                <c:pt idx="45">
                  <c:v>0.004269763827323914</c:v>
                </c:pt>
                <c:pt idx="46">
                  <c:v>0.004269763827323914</c:v>
                </c:pt>
                <c:pt idx="47">
                  <c:v>0.003736043116077781</c:v>
                </c:pt>
                <c:pt idx="48">
                  <c:v>0.003736043116077781</c:v>
                </c:pt>
                <c:pt idx="49">
                  <c:v>0.003736043116077781</c:v>
                </c:pt>
                <c:pt idx="50">
                  <c:v>0.003202322637662292</c:v>
                </c:pt>
                <c:pt idx="51">
                  <c:v>0.003202322637662292</c:v>
                </c:pt>
                <c:pt idx="52">
                  <c:v>0.003202322637662292</c:v>
                </c:pt>
                <c:pt idx="53">
                  <c:v>0.003202322637662292</c:v>
                </c:pt>
                <c:pt idx="54">
                  <c:v>0.002668602392077446</c:v>
                </c:pt>
                <c:pt idx="55">
                  <c:v>0.002668602392077446</c:v>
                </c:pt>
                <c:pt idx="56">
                  <c:v>0.002134881913661957</c:v>
                </c:pt>
                <c:pt idx="57">
                  <c:v>0.002134881913661957</c:v>
                </c:pt>
                <c:pt idx="58">
                  <c:v>0.002134881913661957</c:v>
                </c:pt>
                <c:pt idx="59">
                  <c:v>0.002134881913661957</c:v>
                </c:pt>
                <c:pt idx="60">
                  <c:v>0.001601161318831146</c:v>
                </c:pt>
                <c:pt idx="61">
                  <c:v>0.001601161318831146</c:v>
                </c:pt>
                <c:pt idx="62">
                  <c:v>0.001601161318831146</c:v>
                </c:pt>
                <c:pt idx="63">
                  <c:v>0.001601161318831146</c:v>
                </c:pt>
                <c:pt idx="64">
                  <c:v>0.001067440956830978</c:v>
                </c:pt>
                <c:pt idx="65">
                  <c:v>0.001067440956830978</c:v>
                </c:pt>
                <c:pt idx="66">
                  <c:v>0.0005337204784154892</c:v>
                </c:pt>
                <c:pt idx="67">
                  <c:v>0.0005337204784154892</c:v>
                </c:pt>
                <c:pt idx="68">
                  <c:v>0.0005337204784154892</c:v>
                </c:pt>
                <c:pt idx="69">
                  <c:v>0.0005337204784154892</c:v>
                </c:pt>
                <c:pt idx="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3" totalsRowCount="1">
  <autoFilter ref="A2:H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3" totalsRowCount="1">
  <autoFilter ref="A2:H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71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</row>
    <row r="3" spans="1:8">
      <c r="A3" s="1" t="s">
        <v>1</v>
      </c>
      <c r="B3" s="2">
        <v>98.32932281494141</v>
      </c>
      <c r="C3" s="1">
        <v>132779</v>
      </c>
      <c r="D3" s="1">
        <v>365380</v>
      </c>
      <c r="E3" s="1">
        <v>347578</v>
      </c>
      <c r="F3" s="1">
        <v>17744</v>
      </c>
      <c r="G3" s="1">
        <v>58</v>
      </c>
      <c r="H3" s="1">
        <v>132721</v>
      </c>
    </row>
    <row r="4" spans="1:8">
      <c r="A4" s="1" t="s">
        <v>2</v>
      </c>
      <c r="B4" s="2">
        <v>1.137482881546021</v>
      </c>
      <c r="C4" s="1">
        <v>1536</v>
      </c>
      <c r="D4" s="1">
        <v>452</v>
      </c>
      <c r="E4" s="1">
        <v>64</v>
      </c>
      <c r="F4" s="1">
        <v>388</v>
      </c>
      <c r="G4" s="1">
        <v>0</v>
      </c>
      <c r="H4" s="1">
        <v>1536</v>
      </c>
    </row>
    <row r="5" spans="1:8">
      <c r="A5" s="1" t="s">
        <v>3</v>
      </c>
      <c r="B5" s="2">
        <v>0.2665975391864777</v>
      </c>
      <c r="C5" s="1">
        <v>360</v>
      </c>
      <c r="D5" s="1">
        <v>4410</v>
      </c>
      <c r="E5" s="1">
        <v>4398</v>
      </c>
      <c r="F5" s="1">
        <v>0</v>
      </c>
      <c r="G5" s="1">
        <v>12</v>
      </c>
      <c r="H5" s="1">
        <v>348</v>
      </c>
    </row>
    <row r="6" spans="1:8">
      <c r="A6" s="1" t="s">
        <v>4</v>
      </c>
      <c r="B6" s="2">
        <v>0.1955048739910126</v>
      </c>
      <c r="C6" s="1">
        <v>264</v>
      </c>
      <c r="D6" s="1">
        <v>12</v>
      </c>
      <c r="E6" s="1">
        <v>0</v>
      </c>
      <c r="F6" s="1">
        <v>0</v>
      </c>
      <c r="G6" s="1">
        <v>12</v>
      </c>
      <c r="H6" s="1">
        <v>252</v>
      </c>
    </row>
    <row r="7" spans="1:8">
      <c r="A7" s="1" t="s">
        <v>5</v>
      </c>
      <c r="B7" s="2">
        <v>0.07109268009662628</v>
      </c>
      <c r="C7" s="1">
        <v>96</v>
      </c>
      <c r="D7" s="1">
        <v>8</v>
      </c>
      <c r="E7" s="1">
        <v>8</v>
      </c>
      <c r="F7" s="1">
        <v>0</v>
      </c>
      <c r="G7" s="1">
        <v>0</v>
      </c>
      <c r="H7" s="1">
        <v>96</v>
      </c>
    </row>
    <row r="73" spans="1:8">
      <c r="A73" t="s">
        <v>72</v>
      </c>
      <c r="B73">
        <f>SUBTOTAL(109,[ram_percent])</f>
        <v>0</v>
      </c>
      <c r="C73">
        <f>SUBTOTAL(109,[ram])</f>
        <v>0</v>
      </c>
      <c r="D73">
        <f>SUBTOTAL(109,[flash])</f>
        <v>0</v>
      </c>
      <c r="E73">
        <f>SUBTOTAL(109,[Code])</f>
        <v>0</v>
      </c>
      <c r="F73">
        <f>SUBTOTAL(109,[RO_data])</f>
        <v>0</v>
      </c>
      <c r="G73">
        <f>SUBTOTAL(109,[RW_data])</f>
        <v>0</v>
      </c>
      <c r="H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71</v>
      </c>
      <c r="B2" t="s">
        <v>80</v>
      </c>
      <c r="C2" t="s">
        <v>75</v>
      </c>
      <c r="D2" t="s">
        <v>74</v>
      </c>
      <c r="E2" t="s">
        <v>76</v>
      </c>
      <c r="F2" t="s">
        <v>77</v>
      </c>
      <c r="G2" t="s">
        <v>78</v>
      </c>
      <c r="H2" t="s">
        <v>79</v>
      </c>
    </row>
    <row r="3" spans="1:8">
      <c r="A3" s="1" t="s">
        <v>1</v>
      </c>
      <c r="B3" s="2">
        <v>97.50539398193359</v>
      </c>
      <c r="C3" s="1">
        <v>365380</v>
      </c>
      <c r="D3" s="1">
        <v>132779</v>
      </c>
      <c r="E3" s="1">
        <v>347578</v>
      </c>
      <c r="F3" s="1">
        <v>17744</v>
      </c>
      <c r="G3" s="1">
        <v>58</v>
      </c>
      <c r="H3" s="1">
        <v>132721</v>
      </c>
    </row>
    <row r="4" spans="1:8">
      <c r="A4" s="1" t="s">
        <v>3</v>
      </c>
      <c r="B4" s="2">
        <v>1.176853656768799</v>
      </c>
      <c r="C4" s="1">
        <v>4410</v>
      </c>
      <c r="D4" s="1">
        <v>360</v>
      </c>
      <c r="E4" s="1">
        <v>4398</v>
      </c>
      <c r="F4" s="1">
        <v>0</v>
      </c>
      <c r="G4" s="1">
        <v>12</v>
      </c>
      <c r="H4" s="1">
        <v>348</v>
      </c>
    </row>
    <row r="5" spans="1:8">
      <c r="A5" s="1" t="s">
        <v>6</v>
      </c>
      <c r="B5" s="2">
        <v>0.1286266297101975</v>
      </c>
      <c r="C5" s="1">
        <v>482</v>
      </c>
      <c r="D5" s="1">
        <v>0</v>
      </c>
      <c r="E5" s="1">
        <v>482</v>
      </c>
      <c r="F5" s="1">
        <v>0</v>
      </c>
      <c r="G5" s="1">
        <v>0</v>
      </c>
      <c r="H5" s="1">
        <v>0</v>
      </c>
    </row>
    <row r="6" spans="1:8">
      <c r="A6" s="1" t="s">
        <v>2</v>
      </c>
      <c r="B6" s="2">
        <v>0.1206208243966103</v>
      </c>
      <c r="C6" s="1">
        <v>452</v>
      </c>
      <c r="D6" s="1">
        <v>1536</v>
      </c>
      <c r="E6" s="1">
        <v>64</v>
      </c>
      <c r="F6" s="1">
        <v>388</v>
      </c>
      <c r="G6" s="1">
        <v>0</v>
      </c>
      <c r="H6" s="1">
        <v>1536</v>
      </c>
    </row>
    <row r="7" spans="1:8">
      <c r="A7" s="1" t="s">
        <v>7</v>
      </c>
      <c r="B7" s="2">
        <v>0.08326039463281632</v>
      </c>
      <c r="C7" s="1">
        <v>312</v>
      </c>
      <c r="D7" s="1">
        <v>0</v>
      </c>
      <c r="E7" s="1">
        <v>312</v>
      </c>
      <c r="F7" s="1">
        <v>0</v>
      </c>
      <c r="G7" s="1">
        <v>0</v>
      </c>
      <c r="H7" s="1">
        <v>0</v>
      </c>
    </row>
    <row r="8" spans="1:8">
      <c r="A8" s="1" t="s">
        <v>8</v>
      </c>
      <c r="B8" s="2">
        <v>0.07045110315084457</v>
      </c>
      <c r="C8" s="1">
        <v>264</v>
      </c>
      <c r="D8" s="1">
        <v>0</v>
      </c>
      <c r="E8" s="1">
        <v>264</v>
      </c>
      <c r="F8" s="1">
        <v>0</v>
      </c>
      <c r="G8" s="1">
        <v>0</v>
      </c>
      <c r="H8" s="1">
        <v>0</v>
      </c>
    </row>
    <row r="9" spans="1:8">
      <c r="A9" s="1" t="s">
        <v>9</v>
      </c>
      <c r="B9" s="2">
        <v>0.06618133932352066</v>
      </c>
      <c r="C9" s="1">
        <v>248</v>
      </c>
      <c r="D9" s="1">
        <v>0</v>
      </c>
      <c r="E9" s="1">
        <v>248</v>
      </c>
      <c r="F9" s="1">
        <v>0</v>
      </c>
      <c r="G9" s="1">
        <v>0</v>
      </c>
      <c r="H9" s="1">
        <v>0</v>
      </c>
    </row>
    <row r="10" spans="1:8">
      <c r="A10" s="1" t="s">
        <v>10</v>
      </c>
      <c r="B10" s="2">
        <v>0.0640464574098587</v>
      </c>
      <c r="C10" s="1">
        <v>240</v>
      </c>
      <c r="D10" s="1">
        <v>0</v>
      </c>
      <c r="E10" s="1">
        <v>240</v>
      </c>
      <c r="F10" s="1">
        <v>0</v>
      </c>
      <c r="G10" s="1">
        <v>0</v>
      </c>
      <c r="H10" s="1">
        <v>0</v>
      </c>
    </row>
    <row r="11" spans="1:8">
      <c r="A11" s="1" t="s">
        <v>11</v>
      </c>
      <c r="B11" s="2">
        <v>0.0640464574098587</v>
      </c>
      <c r="C11" s="1">
        <v>240</v>
      </c>
      <c r="D11" s="1">
        <v>0</v>
      </c>
      <c r="E11" s="1">
        <v>240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0.04750112071633339</v>
      </c>
      <c r="C12" s="1">
        <v>178</v>
      </c>
      <c r="D12" s="1">
        <v>0</v>
      </c>
      <c r="E12" s="1">
        <v>178</v>
      </c>
      <c r="F12" s="1">
        <v>0</v>
      </c>
      <c r="G12" s="1">
        <v>0</v>
      </c>
      <c r="H12" s="1">
        <v>0</v>
      </c>
    </row>
    <row r="13" spans="1:8">
      <c r="A13" s="1" t="s">
        <v>13</v>
      </c>
      <c r="B13" s="2">
        <v>0.03682671114802361</v>
      </c>
      <c r="C13" s="1">
        <v>138</v>
      </c>
      <c r="D13" s="1">
        <v>0</v>
      </c>
      <c r="E13" s="1">
        <v>138</v>
      </c>
      <c r="F13" s="1">
        <v>0</v>
      </c>
      <c r="G13" s="1">
        <v>0</v>
      </c>
      <c r="H13" s="1">
        <v>0</v>
      </c>
    </row>
    <row r="14" spans="1:8">
      <c r="A14" s="1" t="s">
        <v>14</v>
      </c>
      <c r="B14" s="2">
        <v>0.03682671114802361</v>
      </c>
      <c r="C14" s="1">
        <v>138</v>
      </c>
      <c r="D14" s="1">
        <v>0</v>
      </c>
      <c r="E14" s="1">
        <v>138</v>
      </c>
      <c r="F14" s="1">
        <v>0</v>
      </c>
      <c r="G14" s="1">
        <v>0</v>
      </c>
      <c r="H14" s="1">
        <v>0</v>
      </c>
    </row>
    <row r="15" spans="1:8">
      <c r="A15" s="1" t="s">
        <v>15</v>
      </c>
      <c r="B15" s="2">
        <v>0.03309066966176033</v>
      </c>
      <c r="C15" s="1">
        <v>124</v>
      </c>
      <c r="D15" s="1">
        <v>0</v>
      </c>
      <c r="E15" s="1">
        <v>124</v>
      </c>
      <c r="F15" s="1">
        <v>0</v>
      </c>
      <c r="G15" s="1">
        <v>0</v>
      </c>
      <c r="H15" s="1">
        <v>0</v>
      </c>
    </row>
    <row r="16" spans="1:8">
      <c r="A16" s="1" t="s">
        <v>16</v>
      </c>
      <c r="B16" s="2">
        <v>0.03202322870492935</v>
      </c>
      <c r="C16" s="1">
        <v>120</v>
      </c>
      <c r="D16" s="1">
        <v>0</v>
      </c>
      <c r="E16" s="1">
        <v>120</v>
      </c>
      <c r="F16" s="1">
        <v>0</v>
      </c>
      <c r="G16" s="1">
        <v>0</v>
      </c>
      <c r="H16" s="1">
        <v>0</v>
      </c>
    </row>
    <row r="17" spans="1:8">
      <c r="A17" s="1" t="s">
        <v>17</v>
      </c>
      <c r="B17" s="2">
        <v>0.03095578588545322</v>
      </c>
      <c r="C17" s="1">
        <v>116</v>
      </c>
      <c r="D17" s="1">
        <v>0</v>
      </c>
      <c r="E17" s="1">
        <v>116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0.02775346301496029</v>
      </c>
      <c r="C18" s="1">
        <v>104</v>
      </c>
      <c r="D18" s="1">
        <v>0</v>
      </c>
      <c r="E18" s="1">
        <v>104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0.02668602205812931</v>
      </c>
      <c r="C19" s="1">
        <v>100</v>
      </c>
      <c r="D19" s="1">
        <v>0</v>
      </c>
      <c r="E19" s="1">
        <v>100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0.02508486062288284</v>
      </c>
      <c r="C20" s="1">
        <v>94</v>
      </c>
      <c r="D20" s="1">
        <v>0</v>
      </c>
      <c r="E20" s="1">
        <v>94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0.02508486062288284</v>
      </c>
      <c r="C21" s="1">
        <v>94</v>
      </c>
      <c r="D21" s="1">
        <v>0</v>
      </c>
      <c r="E21" s="1">
        <v>94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0.02134881913661957</v>
      </c>
      <c r="C22" s="1">
        <v>80</v>
      </c>
      <c r="D22" s="1">
        <v>0</v>
      </c>
      <c r="E22" s="1">
        <v>80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0.02081509865820408</v>
      </c>
      <c r="C23" s="1">
        <v>78</v>
      </c>
      <c r="D23" s="1">
        <v>0</v>
      </c>
      <c r="E23" s="1">
        <v>78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0.02081509865820408</v>
      </c>
      <c r="C24" s="1">
        <v>78</v>
      </c>
      <c r="D24" s="1">
        <v>0</v>
      </c>
      <c r="E24" s="1">
        <v>78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0.02028137817978859</v>
      </c>
      <c r="C25" s="1">
        <v>76</v>
      </c>
      <c r="D25" s="1">
        <v>0</v>
      </c>
      <c r="E25" s="1">
        <v>76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0.0197476577013731</v>
      </c>
      <c r="C26" s="1">
        <v>74</v>
      </c>
      <c r="D26" s="1">
        <v>0</v>
      </c>
      <c r="E26" s="1">
        <v>74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0.01921393722295761</v>
      </c>
      <c r="C27" s="1">
        <v>72</v>
      </c>
      <c r="D27" s="1">
        <v>0</v>
      </c>
      <c r="E27" s="1">
        <v>72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0.01868021674454212</v>
      </c>
      <c r="C28" s="1">
        <v>70</v>
      </c>
      <c r="D28" s="1">
        <v>0</v>
      </c>
      <c r="E28" s="1">
        <v>70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0.01814649626612663</v>
      </c>
      <c r="C29" s="1">
        <v>68</v>
      </c>
      <c r="D29" s="1">
        <v>0</v>
      </c>
      <c r="E29" s="1">
        <v>68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0.01761277578771114</v>
      </c>
      <c r="C30" s="1">
        <v>66</v>
      </c>
      <c r="D30" s="1">
        <v>0</v>
      </c>
      <c r="E30" s="1">
        <v>66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0.01654533483088017</v>
      </c>
      <c r="C31" s="1">
        <v>62</v>
      </c>
      <c r="D31" s="1">
        <v>0</v>
      </c>
      <c r="E31" s="1">
        <v>62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0.01387673150748015</v>
      </c>
      <c r="C32" s="1">
        <v>52</v>
      </c>
      <c r="D32" s="1">
        <v>0</v>
      </c>
      <c r="E32" s="1">
        <v>52</v>
      </c>
      <c r="F32" s="1">
        <v>0</v>
      </c>
      <c r="G32" s="1">
        <v>0</v>
      </c>
      <c r="H32" s="1">
        <v>0</v>
      </c>
    </row>
    <row r="33" spans="1:8">
      <c r="A33" s="1" t="s">
        <v>33</v>
      </c>
      <c r="B33" s="2">
        <v>0.01387673150748015</v>
      </c>
      <c r="C33" s="1">
        <v>52</v>
      </c>
      <c r="D33" s="1">
        <v>0</v>
      </c>
      <c r="E33" s="1">
        <v>52</v>
      </c>
      <c r="F33" s="1">
        <v>0</v>
      </c>
      <c r="G33" s="1">
        <v>0</v>
      </c>
      <c r="H33" s="1">
        <v>0</v>
      </c>
    </row>
    <row r="34" spans="1:8">
      <c r="A34" s="1" t="s">
        <v>34</v>
      </c>
      <c r="B34" s="2">
        <v>0.01334301102906466</v>
      </c>
      <c r="C34" s="1">
        <v>50</v>
      </c>
      <c r="D34" s="1">
        <v>0</v>
      </c>
      <c r="E34" s="1">
        <v>50</v>
      </c>
      <c r="F34" s="1">
        <v>0</v>
      </c>
      <c r="G34" s="1">
        <v>0</v>
      </c>
      <c r="H34" s="1">
        <v>0</v>
      </c>
    </row>
    <row r="35" spans="1:8">
      <c r="A35" s="1" t="s">
        <v>35</v>
      </c>
      <c r="B35" s="2">
        <v>0.01280929055064917</v>
      </c>
      <c r="C35" s="1">
        <v>48</v>
      </c>
      <c r="D35" s="1">
        <v>0</v>
      </c>
      <c r="E35" s="1">
        <v>48</v>
      </c>
      <c r="F35" s="1">
        <v>0</v>
      </c>
      <c r="G35" s="1">
        <v>0</v>
      </c>
      <c r="H35" s="1">
        <v>0</v>
      </c>
    </row>
    <row r="36" spans="1:8">
      <c r="A36" s="1" t="s">
        <v>36</v>
      </c>
      <c r="B36" s="2">
        <v>0.01174185052514076</v>
      </c>
      <c r="C36" s="1">
        <v>44</v>
      </c>
      <c r="D36" s="1">
        <v>0</v>
      </c>
      <c r="E36" s="1">
        <v>44</v>
      </c>
      <c r="F36" s="1">
        <v>0</v>
      </c>
      <c r="G36" s="1">
        <v>0</v>
      </c>
      <c r="H36" s="1">
        <v>0</v>
      </c>
    </row>
    <row r="37" spans="1:8">
      <c r="A37" s="1" t="s">
        <v>37</v>
      </c>
      <c r="B37" s="2">
        <v>0.01174185052514076</v>
      </c>
      <c r="C37" s="1">
        <v>44</v>
      </c>
      <c r="D37" s="1">
        <v>0</v>
      </c>
      <c r="E37" s="1">
        <v>44</v>
      </c>
      <c r="F37" s="1">
        <v>0</v>
      </c>
      <c r="G37" s="1">
        <v>0</v>
      </c>
      <c r="H37" s="1">
        <v>0</v>
      </c>
    </row>
    <row r="38" spans="1:8">
      <c r="A38" s="1" t="s">
        <v>38</v>
      </c>
      <c r="B38" s="2">
        <v>0.009606968611478806</v>
      </c>
      <c r="C38" s="1">
        <v>36</v>
      </c>
      <c r="D38" s="1">
        <v>0</v>
      </c>
      <c r="E38" s="1">
        <v>36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0.008539527654647827</v>
      </c>
      <c r="C39" s="1">
        <v>32</v>
      </c>
      <c r="D39" s="1">
        <v>0</v>
      </c>
      <c r="E39" s="1">
        <v>32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0.007472086232155561</v>
      </c>
      <c r="C40" s="1">
        <v>28</v>
      </c>
      <c r="D40" s="1">
        <v>0</v>
      </c>
      <c r="E40" s="1">
        <v>28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0.007472086232155561</v>
      </c>
      <c r="C41" s="1">
        <v>28</v>
      </c>
      <c r="D41" s="1">
        <v>0</v>
      </c>
      <c r="E41" s="1">
        <v>28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0.006938365753740072</v>
      </c>
      <c r="C42" s="1">
        <v>26</v>
      </c>
      <c r="D42" s="1">
        <v>0</v>
      </c>
      <c r="E42" s="1">
        <v>26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0.006938365753740072</v>
      </c>
      <c r="C43" s="1">
        <v>26</v>
      </c>
      <c r="D43" s="1">
        <v>0</v>
      </c>
      <c r="E43" s="1">
        <v>26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0.006938365753740072</v>
      </c>
      <c r="C44" s="1">
        <v>26</v>
      </c>
      <c r="D44" s="1">
        <v>0</v>
      </c>
      <c r="E44" s="1">
        <v>26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0.006404645275324583</v>
      </c>
      <c r="C45" s="1">
        <v>24</v>
      </c>
      <c r="D45" s="1">
        <v>0</v>
      </c>
      <c r="E45" s="1">
        <v>24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0.005870925262570381</v>
      </c>
      <c r="C46" s="1">
        <v>22</v>
      </c>
      <c r="D46" s="1">
        <v>0</v>
      </c>
      <c r="E46" s="1">
        <v>22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0.004803484305739403</v>
      </c>
      <c r="C47" s="1">
        <v>18</v>
      </c>
      <c r="D47" s="1">
        <v>0</v>
      </c>
      <c r="E47" s="1">
        <v>18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0.004269763827323914</v>
      </c>
      <c r="C48" s="1">
        <v>16</v>
      </c>
      <c r="D48" s="1">
        <v>0</v>
      </c>
      <c r="E48" s="1">
        <v>16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0.004269763827323914</v>
      </c>
      <c r="C49" s="1">
        <v>16</v>
      </c>
      <c r="D49" s="1">
        <v>0</v>
      </c>
      <c r="E49" s="1">
        <v>16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0.003736043116077781</v>
      </c>
      <c r="C50" s="1">
        <v>14</v>
      </c>
      <c r="D50" s="1">
        <v>0</v>
      </c>
      <c r="E50" s="1">
        <v>14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0.003736043116077781</v>
      </c>
      <c r="C51" s="1">
        <v>14</v>
      </c>
      <c r="D51" s="1">
        <v>0</v>
      </c>
      <c r="E51" s="1">
        <v>14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0.003736043116077781</v>
      </c>
      <c r="C52" s="1">
        <v>14</v>
      </c>
      <c r="D52" s="1">
        <v>0</v>
      </c>
      <c r="E52" s="1">
        <v>14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0.003202322637662292</v>
      </c>
      <c r="C53" s="1">
        <v>12</v>
      </c>
      <c r="D53" s="1">
        <v>0</v>
      </c>
      <c r="E53" s="1">
        <v>12</v>
      </c>
      <c r="F53" s="1">
        <v>0</v>
      </c>
      <c r="G53" s="1">
        <v>0</v>
      </c>
      <c r="H53" s="1">
        <v>0</v>
      </c>
    </row>
    <row r="54" spans="1:8">
      <c r="A54" s="1" t="s">
        <v>4</v>
      </c>
      <c r="B54" s="2">
        <v>0.003202322637662292</v>
      </c>
      <c r="C54" s="1">
        <v>12</v>
      </c>
      <c r="D54" s="1">
        <v>264</v>
      </c>
      <c r="E54" s="1">
        <v>0</v>
      </c>
      <c r="F54" s="1">
        <v>0</v>
      </c>
      <c r="G54" s="1">
        <v>12</v>
      </c>
      <c r="H54" s="1">
        <v>252</v>
      </c>
    </row>
    <row r="55" spans="1:8">
      <c r="A55" s="1" t="s">
        <v>54</v>
      </c>
      <c r="B55" s="2">
        <v>0.003202322637662292</v>
      </c>
      <c r="C55" s="1">
        <v>12</v>
      </c>
      <c r="D55" s="1">
        <v>0</v>
      </c>
      <c r="E55" s="1">
        <v>12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0.003202322637662292</v>
      </c>
      <c r="C56" s="1">
        <v>12</v>
      </c>
      <c r="D56" s="1">
        <v>0</v>
      </c>
      <c r="E56" s="1">
        <v>12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0.002668602392077446</v>
      </c>
      <c r="C57" s="1">
        <v>10</v>
      </c>
      <c r="D57" s="1">
        <v>0</v>
      </c>
      <c r="E57" s="1">
        <v>10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0.002668602392077446</v>
      </c>
      <c r="C58" s="1">
        <v>10</v>
      </c>
      <c r="D58" s="1">
        <v>0</v>
      </c>
      <c r="E58" s="1">
        <v>10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0.002134881913661957</v>
      </c>
      <c r="C59" s="1">
        <v>8</v>
      </c>
      <c r="D59" s="1">
        <v>0</v>
      </c>
      <c r="E59" s="1">
        <v>8</v>
      </c>
      <c r="F59" s="1">
        <v>0</v>
      </c>
      <c r="G59" s="1">
        <v>0</v>
      </c>
      <c r="H59" s="1">
        <v>0</v>
      </c>
    </row>
    <row r="60" spans="1:8">
      <c r="A60" s="1" t="s">
        <v>5</v>
      </c>
      <c r="B60" s="2">
        <v>0.002134881913661957</v>
      </c>
      <c r="C60" s="1">
        <v>8</v>
      </c>
      <c r="D60" s="1">
        <v>96</v>
      </c>
      <c r="E60" s="1">
        <v>8</v>
      </c>
      <c r="F60" s="1">
        <v>0</v>
      </c>
      <c r="G60" s="1">
        <v>0</v>
      </c>
      <c r="H60" s="1">
        <v>96</v>
      </c>
    </row>
    <row r="61" spans="1:8">
      <c r="A61" s="1" t="s">
        <v>59</v>
      </c>
      <c r="B61" s="2">
        <v>0.002134881913661957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0.002134881913661957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0.001601161318831146</v>
      </c>
      <c r="C63" s="1">
        <v>6</v>
      </c>
      <c r="D63" s="1">
        <v>0</v>
      </c>
      <c r="E63" s="1">
        <v>6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0.001601161318831146</v>
      </c>
      <c r="C64" s="1">
        <v>6</v>
      </c>
      <c r="D64" s="1">
        <v>0</v>
      </c>
      <c r="E64" s="1">
        <v>6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0.001601161318831146</v>
      </c>
      <c r="C65" s="1">
        <v>6</v>
      </c>
      <c r="D65" s="1">
        <v>0</v>
      </c>
      <c r="E65" s="1">
        <v>6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0.001601161318831146</v>
      </c>
      <c r="C66" s="1">
        <v>6</v>
      </c>
      <c r="D66" s="1">
        <v>0</v>
      </c>
      <c r="E66" s="1">
        <v>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0.001067440956830978</v>
      </c>
      <c r="C67" s="1">
        <v>4</v>
      </c>
      <c r="D67" s="1">
        <v>0</v>
      </c>
      <c r="E67" s="1">
        <v>4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0.001067440956830978</v>
      </c>
      <c r="C68" s="1">
        <v>4</v>
      </c>
      <c r="D68" s="1">
        <v>0</v>
      </c>
      <c r="E68" s="1">
        <v>4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0.0005337204784154892</v>
      </c>
      <c r="C69" s="1">
        <v>2</v>
      </c>
      <c r="D69" s="1">
        <v>0</v>
      </c>
      <c r="E69" s="1">
        <v>2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0.0005337204784154892</v>
      </c>
      <c r="C70" s="1">
        <v>2</v>
      </c>
      <c r="D70" s="1">
        <v>0</v>
      </c>
      <c r="E70" s="1">
        <v>2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0.0005337204784154892</v>
      </c>
      <c r="C71" s="1">
        <v>2</v>
      </c>
      <c r="D71" s="1">
        <v>0</v>
      </c>
      <c r="E71" s="1">
        <v>2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0.0005337204784154892</v>
      </c>
      <c r="C72" s="1">
        <v>2</v>
      </c>
      <c r="D72" s="1">
        <v>0</v>
      </c>
      <c r="E72" s="1">
        <v>2</v>
      </c>
      <c r="F72" s="1">
        <v>0</v>
      </c>
      <c r="G72" s="1">
        <v>0</v>
      </c>
      <c r="H72" s="1">
        <v>0</v>
      </c>
    </row>
    <row r="73" spans="1:8">
      <c r="A73" t="s">
        <v>72</v>
      </c>
      <c r="B73">
        <f>SUBTOTAL(109,[flash_percent])</f>
        <v>0</v>
      </c>
      <c r="C73">
        <f>SUBTOTAL(109,[flash])</f>
        <v>0</v>
      </c>
      <c r="D73">
        <f>SUBTOTAL(109,[ram])</f>
        <v>0</v>
      </c>
      <c r="E73">
        <f>SUBTOTAL(109,[Code])</f>
        <v>0</v>
      </c>
      <c r="F73">
        <f>SUBTOTAL(109,[RO_data])</f>
        <v>0</v>
      </c>
      <c r="G73">
        <f>SUBTOTAL(109,[RW_data])</f>
        <v>0</v>
      </c>
      <c r="H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2026-10-17T03:25:40Z</dcterms:created>
  <dcterms:modified xsi:type="dcterms:W3CDTF">2026-10-17T03:25:40Z</dcterms:modified>
</cp:coreProperties>
</file>